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ring_Database" sheetId="1" state="visible" r:id="rId1"/>
    <sheet name="Bearing_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,##0.0"/>
    <numFmt numFmtId="166" formatCode="0.000"/>
    <numFmt numFmtId="167" formatCode="+0.000;-0.000;0.000"/>
    <numFmt numFmtId="168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FFFFFF"/>
      <sz val="10"/>
    </font>
    <font>
      <name val="Segoe UI"/>
      <sz val="10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6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164" fontId="6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6" fontId="6" fillId="5" borderId="2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1" fontId="3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7" fontId="6" fillId="5" borderId="2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8" fontId="3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Segoe U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Segoe UI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16" customWidth="1" min="8" max="8"/>
    <col width="20" customWidth="1" min="9" max="9"/>
    <col width="18" customWidth="1" min="10" max="10"/>
    <col width="15" customWidth="1" min="11" max="11"/>
    <col width="28" customWidth="1" min="12" max="12"/>
    <col width="25" customWidth="1" min="13" max="13"/>
    <col width="28" customWidth="1" min="14" max="14"/>
    <col width="27" customWidth="1" min="15" max="15"/>
    <col width="12" customWidth="1" min="16" max="16"/>
    <col width="16" customWidth="1" min="17" max="17"/>
    <col width="18" customWidth="1" min="18" max="18"/>
    <col width="25" customWidth="1" min="19" max="19"/>
  </cols>
  <sheetData>
    <row r="1" ht="28" customHeight="1">
      <c r="A1" s="1" t="inlineStr">
        <is>
          <t>FST 16 Wheel Bearing Catalog &amp; Technical Database</t>
        </is>
      </c>
    </row>
    <row r="2"/>
    <row r="3" ht="24" customHeight="1">
      <c r="A3" s="2" t="inlineStr">
        <is>
          <t>Part_Number</t>
        </is>
      </c>
      <c r="B3" s="2" t="inlineStr">
        <is>
          <t>Type</t>
        </is>
      </c>
      <c r="C3" s="2" t="inlineStr">
        <is>
          <t>Bore_d_mm</t>
        </is>
      </c>
      <c r="D3" s="2" t="inlineStr">
        <is>
          <t>OD_D_mm</t>
        </is>
      </c>
      <c r="E3" s="2" t="inlineStr">
        <is>
          <t>Width_B_mm</t>
        </is>
      </c>
      <c r="F3" s="2" t="inlineStr">
        <is>
          <t>Pitch_dm_mm</t>
        </is>
      </c>
      <c r="G3" s="2" t="inlineStr">
        <is>
          <t>Dynamic_Cr_kN</t>
        </is>
      </c>
      <c r="H3" s="2" t="inlineStr">
        <is>
          <t>Static_C0r_kN</t>
        </is>
      </c>
      <c r="I3" s="2" t="inlineStr">
        <is>
          <t>Contact_Angle_deg</t>
        </is>
      </c>
      <c r="J3" s="2" t="inlineStr">
        <is>
          <t>Ball_Diam_Dw_mm</t>
        </is>
      </c>
      <c r="K3" s="2" t="inlineStr">
        <is>
          <t>Ball_Count_Z</t>
        </is>
      </c>
      <c r="L3" s="2" t="inlineStr">
        <is>
          <t>Limiting_Speed_Grease_rpm</t>
        </is>
      </c>
      <c r="M3" s="2" t="inlineStr">
        <is>
          <t>Limiting_Speed_Oil_rpm</t>
        </is>
      </c>
      <c r="N3" s="2" t="inlineStr">
        <is>
          <t>Radial_Stiffness_Kr_kN_mm</t>
        </is>
      </c>
      <c r="O3" s="2" t="inlineStr">
        <is>
          <t>Axial_Stiffness_Ka_kN_mm</t>
        </is>
      </c>
      <c r="P3" s="2" t="inlineStr">
        <is>
          <t>Mass_g</t>
        </is>
      </c>
      <c r="Q3" s="2" t="inlineStr">
        <is>
          <t>Unit_Cost_EUR</t>
        </is>
      </c>
      <c r="R3" s="2" t="inlineStr">
        <is>
          <t>Lead_Time_Weeks</t>
        </is>
      </c>
      <c r="S3" s="2" t="inlineStr">
        <is>
          <t>Status</t>
        </is>
      </c>
    </row>
    <row r="4" ht="20" customHeight="1">
      <c r="A4" s="3" t="inlineStr">
        <is>
          <t>Schaeffler 61816-Y</t>
        </is>
      </c>
      <c r="B4" s="3" t="inlineStr">
        <is>
          <t>Thin DGBB (Brass Cage)</t>
        </is>
      </c>
      <c r="C4" s="4" t="n">
        <v>80</v>
      </c>
      <c r="D4" s="4" t="n">
        <v>100</v>
      </c>
      <c r="E4" s="4" t="n">
        <v>10</v>
      </c>
      <c r="F4" s="5" t="n">
        <v>90</v>
      </c>
      <c r="G4" s="6" t="n">
        <v>13.8</v>
      </c>
      <c r="H4" s="6" t="n">
        <v>13.8</v>
      </c>
      <c r="I4" s="5" t="n">
        <v>0</v>
      </c>
      <c r="J4" s="5" t="n">
        <v>6</v>
      </c>
      <c r="K4" s="7" t="n">
        <v>28</v>
      </c>
      <c r="L4" s="7" t="n">
        <v>8000</v>
      </c>
      <c r="M4" s="7" t="n">
        <v>12300</v>
      </c>
      <c r="N4" s="6" t="n">
        <v>500</v>
      </c>
      <c r="O4" s="6" t="n">
        <v>7.353</v>
      </c>
      <c r="P4" s="8" t="n">
        <v>155</v>
      </c>
      <c r="Q4" s="8" t="n">
        <v>45</v>
      </c>
      <c r="R4" s="5" t="n">
        <v>1</v>
      </c>
      <c r="S4" s="3" t="inlineStr">
        <is>
          <t>Selected Baseline</t>
        </is>
      </c>
    </row>
    <row r="5" ht="20" customHeight="1">
      <c r="A5" s="3" t="inlineStr">
        <is>
          <t>Schaeffler 61816-2RSR</t>
        </is>
      </c>
      <c r="B5" s="3" t="inlineStr">
        <is>
          <t>Thin DGBB (Rubber Sealed)</t>
        </is>
      </c>
      <c r="C5" s="4" t="n">
        <v>80</v>
      </c>
      <c r="D5" s="4" t="n">
        <v>100</v>
      </c>
      <c r="E5" s="4" t="n">
        <v>10</v>
      </c>
      <c r="F5" s="5" t="n">
        <v>90</v>
      </c>
      <c r="G5" s="6" t="n">
        <v>13.8</v>
      </c>
      <c r="H5" s="6" t="n">
        <v>13.8</v>
      </c>
      <c r="I5" s="5" t="n">
        <v>0</v>
      </c>
      <c r="J5" s="5" t="n">
        <v>6</v>
      </c>
      <c r="K5" s="7" t="n">
        <v>28</v>
      </c>
      <c r="L5" s="7" t="n">
        <v>3100</v>
      </c>
      <c r="M5" s="7" t="n">
        <v>3100</v>
      </c>
      <c r="N5" s="6" t="n">
        <v>500</v>
      </c>
      <c r="O5" s="6" t="n">
        <v>7.353</v>
      </c>
      <c r="P5" s="8" t="n">
        <v>160</v>
      </c>
      <c r="Q5" s="8" t="n">
        <v>50</v>
      </c>
      <c r="R5" s="5" t="n">
        <v>1</v>
      </c>
      <c r="S5" s="3" t="inlineStr">
        <is>
          <t>Rejected Seal Drag</t>
        </is>
      </c>
    </row>
    <row r="6" ht="20" customHeight="1">
      <c r="A6" s="3" t="inlineStr">
        <is>
          <t>FAG B71816-C-TPA-P4S-UL</t>
        </is>
      </c>
      <c r="B6" s="3" t="inlineStr">
        <is>
          <t>Thin ACBB (15-deg Spindle)</t>
        </is>
      </c>
      <c r="C6" s="4" t="n">
        <v>80</v>
      </c>
      <c r="D6" s="4" t="n">
        <v>100</v>
      </c>
      <c r="E6" s="4" t="n">
        <v>10</v>
      </c>
      <c r="F6" s="5" t="n">
        <v>90</v>
      </c>
      <c r="G6" s="6" t="n">
        <v>14.6</v>
      </c>
      <c r="H6" s="6" t="n">
        <v>16.6</v>
      </c>
      <c r="I6" s="5" t="n">
        <v>15</v>
      </c>
      <c r="J6" s="5" t="n">
        <v>6.747</v>
      </c>
      <c r="K6" s="7" t="n">
        <v>35</v>
      </c>
      <c r="L6" s="7" t="n">
        <v>12000</v>
      </c>
      <c r="M6" s="7" t="n">
        <v>19000</v>
      </c>
      <c r="N6" s="6" t="n">
        <v>580</v>
      </c>
      <c r="O6" s="6" t="n">
        <v>75</v>
      </c>
      <c r="P6" s="8" t="n">
        <v>145</v>
      </c>
      <c r="Q6" s="8" t="n">
        <v>370</v>
      </c>
      <c r="R6" s="5" t="n">
        <v>18</v>
      </c>
      <c r="S6" s="3" t="inlineStr">
        <is>
          <t>Candidate 15-deg</t>
        </is>
      </c>
    </row>
    <row r="7" ht="20" customHeight="1">
      <c r="A7" s="3" t="inlineStr">
        <is>
          <t>FAG B71816-E-TPA-P4S-UL</t>
        </is>
      </c>
      <c r="B7" s="3" t="inlineStr">
        <is>
          <t>Thin ACBB (25-deg Light)</t>
        </is>
      </c>
      <c r="C7" s="4" t="n">
        <v>80</v>
      </c>
      <c r="D7" s="4" t="n">
        <v>100</v>
      </c>
      <c r="E7" s="4" t="n">
        <v>10</v>
      </c>
      <c r="F7" s="5" t="n">
        <v>90</v>
      </c>
      <c r="G7" s="6" t="n">
        <v>13.7</v>
      </c>
      <c r="H7" s="6" t="n">
        <v>15.6</v>
      </c>
      <c r="I7" s="5" t="n">
        <v>25</v>
      </c>
      <c r="J7" s="5" t="n">
        <v>7.144</v>
      </c>
      <c r="K7" s="7" t="n">
        <v>35</v>
      </c>
      <c r="L7" s="7" t="n">
        <v>9500</v>
      </c>
      <c r="M7" s="7" t="n">
        <v>15000</v>
      </c>
      <c r="N7" s="6" t="n">
        <v>450</v>
      </c>
      <c r="O7" s="6" t="n">
        <v>121.4</v>
      </c>
      <c r="P7" s="8" t="n">
        <v>145</v>
      </c>
      <c r="Q7" s="8" t="n">
        <v>380</v>
      </c>
      <c r="R7" s="5" t="n">
        <v>18</v>
      </c>
      <c r="S7" s="3" t="inlineStr">
        <is>
          <t>Target Upgrade</t>
        </is>
      </c>
    </row>
    <row r="8" ht="20" customHeight="1">
      <c r="A8" s="3" t="inlineStr">
        <is>
          <t>FAG B71816-E-TPA-P4S-UM</t>
        </is>
      </c>
      <c r="B8" s="3" t="inlineStr">
        <is>
          <t>Thin ACBB (25-deg Medium)</t>
        </is>
      </c>
      <c r="C8" s="4" t="n">
        <v>80</v>
      </c>
      <c r="D8" s="4" t="n">
        <v>100</v>
      </c>
      <c r="E8" s="4" t="n">
        <v>10</v>
      </c>
      <c r="F8" s="5" t="n">
        <v>90</v>
      </c>
      <c r="G8" s="6" t="n">
        <v>13.7</v>
      </c>
      <c r="H8" s="6" t="n">
        <v>15.6</v>
      </c>
      <c r="I8" s="5" t="n">
        <v>25</v>
      </c>
      <c r="J8" s="5" t="n">
        <v>7.144</v>
      </c>
      <c r="K8" s="7" t="n">
        <v>35</v>
      </c>
      <c r="L8" s="7" t="n">
        <v>9000</v>
      </c>
      <c r="M8" s="7" t="n">
        <v>14000</v>
      </c>
      <c r="N8" s="6" t="n">
        <v>520</v>
      </c>
      <c r="O8" s="6" t="n">
        <v>195.3</v>
      </c>
      <c r="P8" s="8" t="n">
        <v>145</v>
      </c>
      <c r="Q8" s="8" t="n">
        <v>410</v>
      </c>
      <c r="R8" s="5" t="n">
        <v>18</v>
      </c>
      <c r="S8" s="3" t="inlineStr">
        <is>
          <t>Candidate Medium</t>
        </is>
      </c>
    </row>
    <row r="9" ht="20" customHeight="1">
      <c r="A9" s="3" t="inlineStr">
        <is>
          <t>FAG B71816-E-TPA-P4S-UH</t>
        </is>
      </c>
      <c r="B9" s="3" t="inlineStr">
        <is>
          <t>Thin ACBB (25-deg Heavy)</t>
        </is>
      </c>
      <c r="C9" s="4" t="n">
        <v>80</v>
      </c>
      <c r="D9" s="4" t="n">
        <v>100</v>
      </c>
      <c r="E9" s="4" t="n">
        <v>10</v>
      </c>
      <c r="F9" s="5" t="n">
        <v>90</v>
      </c>
      <c r="G9" s="6" t="n">
        <v>13.7</v>
      </c>
      <c r="H9" s="6" t="n">
        <v>15.6</v>
      </c>
      <c r="I9" s="5" t="n">
        <v>25</v>
      </c>
      <c r="J9" s="5" t="n">
        <v>7.144</v>
      </c>
      <c r="K9" s="7" t="n">
        <v>35</v>
      </c>
      <c r="L9" s="7" t="n">
        <v>8200</v>
      </c>
      <c r="M9" s="7" t="n">
        <v>13000</v>
      </c>
      <c r="N9" s="6" t="n">
        <v>590</v>
      </c>
      <c r="O9" s="6" t="n">
        <v>275.3</v>
      </c>
      <c r="P9" s="8" t="n">
        <v>145</v>
      </c>
      <c r="Q9" s="8" t="n">
        <v>440</v>
      </c>
      <c r="R9" s="5" t="n">
        <v>20</v>
      </c>
      <c r="S9" s="3" t="inlineStr">
        <is>
          <t>Candidate Heavy</t>
        </is>
      </c>
    </row>
    <row r="10" ht="20" customHeight="1">
      <c r="A10" s="3" t="inlineStr">
        <is>
          <t>FAG HCB71816-E-TPA-P4S-UL</t>
        </is>
      </c>
      <c r="B10" s="3" t="inlineStr">
        <is>
          <t>Hybrid Ceramic ACBB (Si3N4)</t>
        </is>
      </c>
      <c r="C10" s="4" t="n">
        <v>80</v>
      </c>
      <c r="D10" s="4" t="n">
        <v>100</v>
      </c>
      <c r="E10" s="4" t="n">
        <v>10</v>
      </c>
      <c r="F10" s="5" t="n">
        <v>90</v>
      </c>
      <c r="G10" s="6" t="n">
        <v>9.5</v>
      </c>
      <c r="H10" s="6" t="n">
        <v>10.8</v>
      </c>
      <c r="I10" s="5" t="n">
        <v>25</v>
      </c>
      <c r="J10" s="5" t="n">
        <v>7.144</v>
      </c>
      <c r="K10" s="7" t="n">
        <v>35</v>
      </c>
      <c r="L10" s="7" t="n">
        <v>12000</v>
      </c>
      <c r="M10" s="7" t="n">
        <v>18000</v>
      </c>
      <c r="N10" s="6" t="n">
        <v>490</v>
      </c>
      <c r="O10" s="6" t="n">
        <v>135</v>
      </c>
      <c r="P10" s="8" t="n">
        <v>125</v>
      </c>
      <c r="Q10" s="8" t="n">
        <v>620</v>
      </c>
      <c r="R10" s="5" t="n">
        <v>24</v>
      </c>
      <c r="S10" s="3" t="inlineStr">
        <is>
          <t>Hybrid Ceramic</t>
        </is>
      </c>
    </row>
    <row r="11" ht="20" customHeight="1">
      <c r="A11" s="3" t="inlineStr">
        <is>
          <t>FAG XCB71816-E-TPA-P4S-UL</t>
        </is>
      </c>
      <c r="B11" s="3" t="inlineStr">
        <is>
          <t>Cronidur 30 ACBB (F1 Grade)</t>
        </is>
      </c>
      <c r="C11" s="4" t="n">
        <v>80</v>
      </c>
      <c r="D11" s="4" t="n">
        <v>100</v>
      </c>
      <c r="E11" s="4" t="n">
        <v>10</v>
      </c>
      <c r="F11" s="5" t="n">
        <v>90</v>
      </c>
      <c r="G11" s="6" t="n">
        <v>12.5</v>
      </c>
      <c r="H11" s="6" t="n">
        <v>12</v>
      </c>
      <c r="I11" s="5" t="n">
        <v>25</v>
      </c>
      <c r="J11" s="5" t="n">
        <v>7.144</v>
      </c>
      <c r="K11" s="7" t="n">
        <v>35</v>
      </c>
      <c r="L11" s="7" t="n">
        <v>14000</v>
      </c>
      <c r="M11" s="7" t="n">
        <v>22000</v>
      </c>
      <c r="N11" s="6" t="n">
        <v>550</v>
      </c>
      <c r="O11" s="6" t="n">
        <v>145</v>
      </c>
      <c r="P11" s="8" t="n">
        <v>125</v>
      </c>
      <c r="Q11" s="8" t="n">
        <v>1250</v>
      </c>
      <c r="R11" s="5" t="n">
        <v>26</v>
      </c>
      <c r="S11" s="3" t="inlineStr">
        <is>
          <t>Cronidur 30 F1</t>
        </is>
      </c>
    </row>
    <row r="12" ht="20" customHeight="1">
      <c r="A12" s="3" t="inlineStr">
        <is>
          <t>Schaeffler 61815-Y</t>
        </is>
      </c>
      <c r="B12" s="3" t="inlineStr">
        <is>
          <t>Thin DGBB (FST15 Inner)</t>
        </is>
      </c>
      <c r="C12" s="4" t="n">
        <v>75</v>
      </c>
      <c r="D12" s="4" t="n">
        <v>95</v>
      </c>
      <c r="E12" s="4" t="n">
        <v>10</v>
      </c>
      <c r="F12" s="5" t="n">
        <v>85</v>
      </c>
      <c r="G12" s="6" t="n">
        <v>13.7</v>
      </c>
      <c r="H12" s="6" t="n">
        <v>13.4</v>
      </c>
      <c r="I12" s="5" t="n">
        <v>0</v>
      </c>
      <c r="J12" s="5" t="n">
        <v>6</v>
      </c>
      <c r="K12" s="7" t="n">
        <v>26</v>
      </c>
      <c r="L12" s="7" t="n">
        <v>8500</v>
      </c>
      <c r="M12" s="7" t="n">
        <v>13000</v>
      </c>
      <c r="N12" s="6" t="n">
        <v>480</v>
      </c>
      <c r="O12" s="6" t="n">
        <v>7.1</v>
      </c>
      <c r="P12" s="8" t="n">
        <v>140</v>
      </c>
      <c r="Q12" s="8" t="n">
        <v>42</v>
      </c>
      <c r="R12" s="5" t="n">
        <v>1</v>
      </c>
      <c r="S12" s="3" t="inlineStr">
        <is>
          <t>FST15 Baseline</t>
        </is>
      </c>
    </row>
    <row r="13" ht="20" customHeight="1">
      <c r="A13" s="3" t="inlineStr">
        <is>
          <t>FAG B71815-E-TPA-P4S-UL</t>
        </is>
      </c>
      <c r="B13" s="3" t="inlineStr">
        <is>
          <t>Thin ACBB (FST15 Stepped)</t>
        </is>
      </c>
      <c r="C13" s="4" t="n">
        <v>75</v>
      </c>
      <c r="D13" s="4" t="n">
        <v>95</v>
      </c>
      <c r="E13" s="4" t="n">
        <v>10</v>
      </c>
      <c r="F13" s="5" t="n">
        <v>85</v>
      </c>
      <c r="G13" s="6" t="n">
        <v>13.2</v>
      </c>
      <c r="H13" s="6" t="n">
        <v>14.8</v>
      </c>
      <c r="I13" s="5" t="n">
        <v>25</v>
      </c>
      <c r="J13" s="5" t="n">
        <v>7.144</v>
      </c>
      <c r="K13" s="7" t="n">
        <v>33</v>
      </c>
      <c r="L13" s="7" t="n">
        <v>10000</v>
      </c>
      <c r="M13" s="7" t="n">
        <v>16000</v>
      </c>
      <c r="N13" s="6" t="n">
        <v>430</v>
      </c>
      <c r="O13" s="6" t="n">
        <v>115</v>
      </c>
      <c r="P13" s="8" t="n">
        <v>135</v>
      </c>
      <c r="Q13" s="8" t="n">
        <v>360</v>
      </c>
      <c r="R13" s="5" t="n">
        <v>18</v>
      </c>
      <c r="S13" s="3" t="inlineStr">
        <is>
          <t>FST15 Stepped ACBB</t>
        </is>
      </c>
    </row>
    <row r="14" ht="20" customHeight="1">
      <c r="A14" s="3" t="inlineStr">
        <is>
          <t>Schaeffler 61916</t>
        </is>
      </c>
      <c r="B14" s="3" t="inlineStr">
        <is>
          <t>Medium Thin DGBB (ISO 19)</t>
        </is>
      </c>
      <c r="C14" s="4" t="n">
        <v>80</v>
      </c>
      <c r="D14" s="4" t="n">
        <v>110</v>
      </c>
      <c r="E14" s="4" t="n">
        <v>16</v>
      </c>
      <c r="F14" s="5" t="n">
        <v>95</v>
      </c>
      <c r="G14" s="6" t="n">
        <v>26.5</v>
      </c>
      <c r="H14" s="6" t="n">
        <v>24</v>
      </c>
      <c r="I14" s="5" t="n">
        <v>0</v>
      </c>
      <c r="J14" s="5" t="n">
        <v>10</v>
      </c>
      <c r="K14" s="7" t="n">
        <v>18</v>
      </c>
      <c r="L14" s="7" t="n">
        <v>6700</v>
      </c>
      <c r="M14" s="7" t="n">
        <v>8000</v>
      </c>
      <c r="N14" s="6" t="n">
        <v>620</v>
      </c>
      <c r="O14" s="6" t="n">
        <v>12</v>
      </c>
      <c r="P14" s="8" t="n">
        <v>380</v>
      </c>
      <c r="Q14" s="8" t="n">
        <v>75</v>
      </c>
      <c r="R14" s="5" t="n">
        <v>2</v>
      </c>
      <c r="S14" s="3" t="inlineStr">
        <is>
          <t>Rejected Packaging</t>
        </is>
      </c>
    </row>
    <row r="15" ht="20" customHeight="1">
      <c r="A15" s="3" t="inlineStr">
        <is>
          <t>FAG B71916-E-TPA-P4S-UL</t>
        </is>
      </c>
      <c r="B15" s="3" t="inlineStr">
        <is>
          <t>Angular Contact (ISO 19)</t>
        </is>
      </c>
      <c r="C15" s="4" t="n">
        <v>80</v>
      </c>
      <c r="D15" s="4" t="n">
        <v>110</v>
      </c>
      <c r="E15" s="4" t="n">
        <v>16</v>
      </c>
      <c r="F15" s="5" t="n">
        <v>95</v>
      </c>
      <c r="G15" s="6" t="n">
        <v>33.5</v>
      </c>
      <c r="H15" s="6" t="n">
        <v>24</v>
      </c>
      <c r="I15" s="5" t="n">
        <v>25</v>
      </c>
      <c r="J15" s="5" t="n">
        <v>10</v>
      </c>
      <c r="K15" s="7" t="n">
        <v>21</v>
      </c>
      <c r="L15" s="7" t="n">
        <v>8500</v>
      </c>
      <c r="M15" s="7" t="n">
        <v>13000</v>
      </c>
      <c r="N15" s="6" t="n">
        <v>680</v>
      </c>
      <c r="O15" s="6" t="n">
        <v>185</v>
      </c>
      <c r="P15" s="8" t="n">
        <v>380</v>
      </c>
      <c r="Q15" s="8" t="n">
        <v>450</v>
      </c>
      <c r="R15" s="5" t="n">
        <v>20</v>
      </c>
      <c r="S15" s="3" t="inlineStr">
        <is>
          <t>Rejected Packaging</t>
        </is>
      </c>
    </row>
    <row r="16" ht="20" customHeight="1">
      <c r="A16" s="3" t="inlineStr">
        <is>
          <t>Schaeffler 6016</t>
        </is>
      </c>
      <c r="B16" s="3" t="inlineStr">
        <is>
          <t>Standard DGBB (ISO 02)</t>
        </is>
      </c>
      <c r="C16" s="4" t="n">
        <v>80</v>
      </c>
      <c r="D16" s="4" t="n">
        <v>125</v>
      </c>
      <c r="E16" s="4" t="n">
        <v>22</v>
      </c>
      <c r="F16" s="5" t="n">
        <v>102.5</v>
      </c>
      <c r="G16" s="6" t="n">
        <v>51</v>
      </c>
      <c r="H16" s="6" t="n">
        <v>40</v>
      </c>
      <c r="I16" s="5" t="n">
        <v>0</v>
      </c>
      <c r="J16" s="5" t="n">
        <v>14</v>
      </c>
      <c r="K16" s="7" t="n">
        <v>12</v>
      </c>
      <c r="L16" s="7" t="n">
        <v>5600</v>
      </c>
      <c r="M16" s="7" t="n">
        <v>6700</v>
      </c>
      <c r="N16" s="6" t="n">
        <v>780</v>
      </c>
      <c r="O16" s="6" t="n">
        <v>18</v>
      </c>
      <c r="P16" s="8" t="n">
        <v>850</v>
      </c>
      <c r="Q16" s="8" t="n">
        <v>85</v>
      </c>
      <c r="R16" s="5" t="n">
        <v>2</v>
      </c>
      <c r="S16" s="3" t="inlineStr">
        <is>
          <t>Rejected Mass</t>
        </is>
      </c>
    </row>
    <row r="17" ht="20" customHeight="1">
      <c r="A17" s="3" t="inlineStr">
        <is>
          <t>FAG 7216-B-XL-TVP</t>
        </is>
      </c>
      <c r="B17" s="3" t="inlineStr">
        <is>
          <t>Standard ACBB (ISO 02)</t>
        </is>
      </c>
      <c r="C17" s="4" t="n">
        <v>80</v>
      </c>
      <c r="D17" s="4" t="n">
        <v>140</v>
      </c>
      <c r="E17" s="4" t="n">
        <v>26</v>
      </c>
      <c r="F17" s="5" t="n">
        <v>110</v>
      </c>
      <c r="G17" s="6" t="n">
        <v>85</v>
      </c>
      <c r="H17" s="6" t="n">
        <v>76.5</v>
      </c>
      <c r="I17" s="5" t="n">
        <v>40</v>
      </c>
      <c r="J17" s="5" t="n">
        <v>18</v>
      </c>
      <c r="K17" s="7" t="n">
        <v>14</v>
      </c>
      <c r="L17" s="7" t="n">
        <v>4800</v>
      </c>
      <c r="M17" s="7" t="n">
        <v>6300</v>
      </c>
      <c r="N17" s="6" t="n">
        <v>1100</v>
      </c>
      <c r="O17" s="6" t="n">
        <v>320</v>
      </c>
      <c r="P17" s="8" t="n">
        <v>1450</v>
      </c>
      <c r="Q17" s="8" t="n">
        <v>140</v>
      </c>
      <c r="R17" s="5" t="n">
        <v>3</v>
      </c>
      <c r="S17" s="3" t="inlineStr">
        <is>
          <t>Rejected Mass</t>
        </is>
      </c>
    </row>
    <row r="18" ht="20" customHeight="1">
      <c r="A18" s="3" t="inlineStr">
        <is>
          <t>FAG 32016-X-XL</t>
        </is>
      </c>
      <c r="B18" s="3" t="inlineStr">
        <is>
          <t>Tapered Roller Bearing</t>
        </is>
      </c>
      <c r="C18" s="4" t="n">
        <v>80</v>
      </c>
      <c r="D18" s="4" t="n">
        <v>125</v>
      </c>
      <c r="E18" s="4" t="n">
        <v>29</v>
      </c>
      <c r="F18" s="5" t="n">
        <v>102.5</v>
      </c>
      <c r="G18" s="6" t="n">
        <v>162</v>
      </c>
      <c r="H18" s="6" t="n">
        <v>212</v>
      </c>
      <c r="I18" s="5" t="n">
        <v>14</v>
      </c>
      <c r="J18" s="5" t="n">
        <v>12</v>
      </c>
      <c r="K18" s="7" t="n">
        <v>24</v>
      </c>
      <c r="L18" s="7" t="n">
        <v>3000</v>
      </c>
      <c r="M18" s="7" t="n">
        <v>4300</v>
      </c>
      <c r="N18" s="6" t="n">
        <v>2200</v>
      </c>
      <c r="O18" s="6" t="n">
        <v>850</v>
      </c>
      <c r="P18" s="8" t="n">
        <v>1250</v>
      </c>
      <c r="Q18" s="8" t="n">
        <v>120</v>
      </c>
      <c r="R18" s="5" t="n">
        <v>3</v>
      </c>
      <c r="S18" s="3" t="inlineStr">
        <is>
          <t>Rejected Mass Friction</t>
        </is>
      </c>
    </row>
    <row r="19" ht="20" customHeight="1">
      <c r="A19" s="3" t="inlineStr">
        <is>
          <t>FAG 3216-B-TVH</t>
        </is>
      </c>
      <c r="B19" s="3" t="inlineStr">
        <is>
          <t>Double Row Angular Contact</t>
        </is>
      </c>
      <c r="C19" s="4" t="n">
        <v>80</v>
      </c>
      <c r="D19" s="4" t="n">
        <v>140</v>
      </c>
      <c r="E19" s="4" t="n">
        <v>44.4</v>
      </c>
      <c r="F19" s="5" t="n">
        <v>110</v>
      </c>
      <c r="G19" s="6" t="n">
        <v>99</v>
      </c>
      <c r="H19" s="6" t="n">
        <v>102</v>
      </c>
      <c r="I19" s="5" t="n">
        <v>32</v>
      </c>
      <c r="J19" s="5" t="n">
        <v>16</v>
      </c>
      <c r="K19" s="7" t="n">
        <v>24</v>
      </c>
      <c r="L19" s="7" t="n">
        <v>2800</v>
      </c>
      <c r="M19" s="7" t="n">
        <v>3800</v>
      </c>
      <c r="N19" s="6" t="n">
        <v>1400</v>
      </c>
      <c r="O19" s="6" t="n">
        <v>420</v>
      </c>
      <c r="P19" s="8" t="n">
        <v>2450</v>
      </c>
      <c r="Q19" s="8" t="n">
        <v>210</v>
      </c>
      <c r="R19" s="5" t="n">
        <v>4</v>
      </c>
      <c r="S19" s="3" t="inlineStr">
        <is>
          <t>Rejected Road Car Unit</t>
        </is>
      </c>
    </row>
    <row r="20" ht="20" customHeight="1">
      <c r="A20" s="3" t="inlineStr">
        <is>
          <t>FAG QJ216-XL-MPA</t>
        </is>
      </c>
      <c r="B20" s="3" t="inlineStr">
        <is>
          <t>Four-Point Contact Ball</t>
        </is>
      </c>
      <c r="C20" s="4" t="n">
        <v>80</v>
      </c>
      <c r="D20" s="4" t="n">
        <v>140</v>
      </c>
      <c r="E20" s="4" t="n">
        <v>26</v>
      </c>
      <c r="F20" s="5" t="n">
        <v>110</v>
      </c>
      <c r="G20" s="6" t="n">
        <v>136</v>
      </c>
      <c r="H20" s="6" t="n">
        <v>137</v>
      </c>
      <c r="I20" s="5" t="n">
        <v>35</v>
      </c>
      <c r="J20" s="5" t="n">
        <v>18</v>
      </c>
      <c r="K20" s="7" t="n">
        <v>14</v>
      </c>
      <c r="L20" s="7" t="n">
        <v>3400</v>
      </c>
      <c r="M20" s="7" t="n">
        <v>5300</v>
      </c>
      <c r="N20" s="6" t="n">
        <v>1300</v>
      </c>
      <c r="O20" s="6" t="n">
        <v>350</v>
      </c>
      <c r="P20" s="8" t="n">
        <v>1700</v>
      </c>
      <c r="Q20" s="8" t="n">
        <v>260</v>
      </c>
      <c r="R20" s="5" t="n">
        <v>6</v>
      </c>
      <c r="S20" s="3" t="inlineStr">
        <is>
          <t>Rejected Split 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15" customWidth="1" min="5" max="5"/>
    <col width="42" customWidth="1" min="6" max="6"/>
    <col width="16" customWidth="1" min="7" max="7"/>
  </cols>
  <sheetData>
    <row r="1" ht="25" customHeight="1">
      <c r="B1" s="1" t="inlineStr">
        <is>
          <t>FST 16 Wheel Bearing Sizing &amp; Verification Calculator</t>
        </is>
      </c>
    </row>
    <row r="2" ht="18" customHeight="1">
      <c r="B2" s="9" t="inlineStr">
        <is>
          <t>Formula Student Lisboa - Hub &amp; Upright Wheel Assembly</t>
        </is>
      </c>
    </row>
    <row r="4" ht="22" customHeight="1">
      <c r="B4" s="10" t="inlineStr">
        <is>
          <t>1. BEARING SELECTION &amp; CANDIDATE ARCHITECTURE</t>
        </is>
      </c>
      <c r="C4" s="11" t="n"/>
      <c r="D4" s="11" t="n"/>
      <c r="E4" s="11" t="n"/>
      <c r="F4" s="11" t="n"/>
    </row>
    <row r="5" ht="20" customHeight="1">
      <c r="B5" s="2" t="inlineStr">
        <is>
          <t>Interface / Position</t>
        </is>
      </c>
      <c r="C5" s="2" t="inlineStr">
        <is>
          <t>Bearing Designation</t>
        </is>
      </c>
      <c r="D5" s="2" t="inlineStr">
        <is>
          <t>Series / Angle</t>
        </is>
      </c>
      <c r="E5" s="2" t="inlineStr">
        <is>
          <t>Reference Link</t>
        </is>
      </c>
    </row>
    <row r="6">
      <c r="B6" s="12" t="inlineStr">
        <is>
          <t>Outer Bearing (Rim Side)</t>
        </is>
      </c>
      <c r="C6" s="13" t="inlineStr">
        <is>
          <t>Schaeffler 61816-Y</t>
        </is>
      </c>
      <c r="D6" s="14">
        <f>VLOOKUP(C6, Bearing_Database!A4:S20, 2, FALSE)</f>
        <v/>
      </c>
      <c r="E6" s="15">
        <f>"Bore: " &amp; VLOOKUP(C6, Bearing_Database!A4:S20, 3, FALSE) &amp; " mm | Angle: " &amp; VLOOKUP(C6, Bearing_Database!A4:S20, 9, FALSE) &amp; " deg"</f>
        <v/>
      </c>
    </row>
    <row r="7">
      <c r="B7" s="12" t="inlineStr">
        <is>
          <t>Inner Bearing (Motor Side)</t>
        </is>
      </c>
      <c r="C7" s="13" t="inlineStr">
        <is>
          <t>Schaeffler 61816-Y</t>
        </is>
      </c>
      <c r="D7" s="14">
        <f>VLOOKUP(C7, Bearing_Database!A4:S20, 2, FALSE)</f>
        <v/>
      </c>
      <c r="E7" s="15">
        <f>"Bore: " &amp; VLOOKUP(C7, Bearing_Database!A4:S20, 3, FALSE) &amp; " mm | Angle: " &amp; VLOOKUP(C7, Bearing_Database!A4:S20, 9, FALSE) &amp; " deg"</f>
        <v/>
      </c>
    </row>
    <row r="9" ht="22" customHeight="1">
      <c r="B9" s="10" t="inlineStr">
        <is>
          <t>2. OPERATING CONDITIONS &amp; VEHICLE DYNAMICS (PEAK CORNERING)</t>
        </is>
      </c>
      <c r="C9" s="11" t="n"/>
      <c r="D9" s="11" t="n"/>
      <c r="E9" s="11" t="n"/>
      <c r="F9" s="11" t="n"/>
    </row>
    <row r="10" ht="20" customHeight="1">
      <c r="B10" s="2" t="inlineStr">
        <is>
          <t>Operating Parameter</t>
        </is>
      </c>
      <c r="C10" s="2" t="inlineStr">
        <is>
          <t>Value</t>
        </is>
      </c>
      <c r="D10" s="2" t="inlineStr">
        <is>
          <t>Unit</t>
        </is>
      </c>
      <c r="E10" s="2" t="inlineStr">
        <is>
          <t>Physical Engineering Note</t>
        </is>
      </c>
    </row>
    <row r="11">
      <c r="B11" s="12" t="inlineStr">
        <is>
          <t>Tire Lateral Force (Fy)</t>
        </is>
      </c>
      <c r="C11" s="16" t="n">
        <v>4436.26</v>
      </c>
      <c r="D11" s="17" t="inlineStr">
        <is>
          <t>N</t>
        </is>
      </c>
      <c r="E11" s="15" t="inlineStr">
        <is>
          <t>Peak 1.8g steady-state cornering (LC3)</t>
        </is>
      </c>
    </row>
    <row r="12">
      <c r="B12" s="12" t="inlineStr">
        <is>
          <t>Tire Vertical Wheel Load (Fz)</t>
        </is>
      </c>
      <c r="C12" s="16" t="n">
        <v>1787.31</v>
      </c>
      <c r="D12" s="17" t="inlineStr">
        <is>
          <t>N</t>
        </is>
      </c>
      <c r="E12" s="15" t="inlineStr">
        <is>
          <t>Vertical wheel load under weight transfer</t>
        </is>
      </c>
    </row>
    <row r="13">
      <c r="B13" s="12" t="inlineStr">
        <is>
          <t>Loaded Tire Rolling Radius (Reff)</t>
        </is>
      </c>
      <c r="C13" s="18" t="n">
        <v>0.25</v>
      </c>
      <c r="D13" s="17" t="inlineStr">
        <is>
          <t>m</t>
        </is>
      </c>
      <c r="E13" s="15" t="inlineStr">
        <is>
          <t>Hoosier 18.0x6.0-10 under racing load</t>
        </is>
      </c>
    </row>
    <row r="14">
      <c r="B14" s="12" t="inlineStr">
        <is>
          <t>Bearing Physical Center Span (Lb)</t>
        </is>
      </c>
      <c r="C14" s="16" t="n">
        <v>32</v>
      </c>
      <c r="D14" s="17" t="inlineStr">
        <is>
          <t>mm</t>
        </is>
      </c>
      <c r="E14" s="15" t="inlineStr">
        <is>
          <t>Center-to-center raceway distance</t>
        </is>
      </c>
    </row>
    <row r="15">
      <c r="B15" s="12" t="inlineStr">
        <is>
          <t>Vehicle Track Speed (v)</t>
        </is>
      </c>
      <c r="C15" s="16" t="n">
        <v>100</v>
      </c>
      <c r="D15" s="17" t="inlineStr">
        <is>
          <t>km/h</t>
        </is>
      </c>
      <c r="E15" s="15" t="inlineStr">
        <is>
          <t>Operating cornering entry speed</t>
        </is>
      </c>
    </row>
    <row r="16">
      <c r="B16" s="12" t="inlineStr">
        <is>
          <t>Track Operating Temperature (T)</t>
        </is>
      </c>
      <c r="C16" s="16" t="n">
        <v>80</v>
      </c>
      <c r="D16" s="17" t="inlineStr">
        <is>
          <t>deg C</t>
        </is>
      </c>
      <c r="E16" s="15" t="inlineStr">
        <is>
          <t>Equilibrium temperature under braking &amp; motor</t>
        </is>
      </c>
    </row>
    <row r="17">
      <c r="B17" s="12" t="inlineStr">
        <is>
          <t>Thread Pitch (M78x1.5)</t>
        </is>
      </c>
      <c r="C17" s="19" t="n">
        <v>1.5</v>
      </c>
      <c r="D17" s="17" t="inlineStr">
        <is>
          <t>mm</t>
        </is>
      </c>
      <c r="E17" s="15" t="inlineStr">
        <is>
          <t>Thread pitch for Preload Nut clamping</t>
        </is>
      </c>
    </row>
    <row r="19" ht="22" customHeight="1">
      <c r="B19" s="10" t="inlineStr">
        <is>
          <t>3. LOAD DISTRIBUTION &amp; CONTACT MECHANICS</t>
        </is>
      </c>
      <c r="C19" s="11" t="n"/>
      <c r="D19" s="11" t="n"/>
      <c r="E19" s="11" t="n"/>
      <c r="F19" s="11" t="n"/>
    </row>
    <row r="20" ht="20" customHeight="1">
      <c r="B20" s="2" t="inlineStr">
        <is>
          <t>Calculated Parameter</t>
        </is>
      </c>
      <c r="C20" s="2" t="inlineStr">
        <is>
          <t>Formula / Value</t>
        </is>
      </c>
      <c r="D20" s="2" t="inlineStr">
        <is>
          <t>Unit</t>
        </is>
      </c>
      <c r="E20" s="2" t="inlineStr">
        <is>
          <t>Engineering Verification</t>
        </is>
      </c>
    </row>
    <row r="21">
      <c r="B21" s="12" t="inlineStr">
        <is>
          <t>Overturning Moment (Mx)</t>
        </is>
      </c>
      <c r="C21" s="20">
        <f>C11*C13</f>
        <v/>
      </c>
      <c r="D21" s="17" t="inlineStr">
        <is>
          <t>N*m</t>
        </is>
      </c>
      <c r="E21" s="15" t="inlineStr">
        <is>
          <t>Mx = Fy * Reff</t>
        </is>
      </c>
    </row>
    <row r="22">
      <c r="B22" s="14" t="inlineStr">
        <is>
          <t>Outer Pressure Apex Distance (a_out)</t>
        </is>
      </c>
      <c r="C22" s="6">
        <f>IF(VLOOKUP(C6, Bearing_Database!A4:S20, 9, FALSE)&gt;0, (VLOOKUP(C6, Bearing_Database!A4:S20, 6, FALSE)/2)*TAN(RADIANS(VLOOKUP(C6, Bearing_Database!A4:S20, 9, FALSE))), 0)</f>
        <v/>
      </c>
      <c r="D22" s="17" t="inlineStr">
        <is>
          <t>mm</t>
        </is>
      </c>
      <c r="E22" s="15" t="inlineStr">
        <is>
          <t>a_out = (dm/2)*tan(alpha)</t>
        </is>
      </c>
    </row>
    <row r="23">
      <c r="B23" s="14" t="inlineStr">
        <is>
          <t>Inner Pressure Apex Distance (a_in)</t>
        </is>
      </c>
      <c r="C23" s="6">
        <f>IF(VLOOKUP(C7, Bearing_Database!A4:S20, 9, FALSE)&gt;0, (VLOOKUP(C7, Bearing_Database!A4:S20, 6, FALSE)/2)*TAN(RADIANS(VLOOKUP(C7, Bearing_Database!A4:S20, 9, FALSE))), 0)</f>
        <v/>
      </c>
      <c r="D23" s="17" t="inlineStr">
        <is>
          <t>mm</t>
        </is>
      </c>
      <c r="E23" s="15" t="inlineStr">
        <is>
          <t>a_in = (dm/2)*tan(alpha)</t>
        </is>
      </c>
    </row>
    <row r="24">
      <c r="B24" s="12" t="inlineStr">
        <is>
          <t>Effective Bearing Spread (H)</t>
        </is>
      </c>
      <c r="C24" s="21">
        <f>C14+C22+C23</f>
        <v/>
      </c>
      <c r="D24" s="22" t="inlineStr">
        <is>
          <t>mm</t>
        </is>
      </c>
      <c r="E24" s="15" t="inlineStr">
        <is>
          <t>H = Lb + a_out + a_in (O-arrangement spread)</t>
        </is>
      </c>
    </row>
    <row r="25">
      <c r="B25" s="12" t="inlineStr">
        <is>
          <t>Decoupled Overturning Couple (F_couple)</t>
        </is>
      </c>
      <c r="C25" s="23">
        <f>C21/(C24/1000)</f>
        <v/>
      </c>
      <c r="D25" s="17" t="inlineStr">
        <is>
          <t>N</t>
        </is>
      </c>
      <c r="E25" s="15" t="inlineStr">
        <is>
          <t>F_couple = Mx / H</t>
        </is>
      </c>
    </row>
    <row r="26">
      <c r="B26" s="12" t="inlineStr">
        <is>
          <t>Peak Outer Radial Force (Fr_out)</t>
        </is>
      </c>
      <c r="C26" s="23">
        <f>C25+(C12/2)</f>
        <v/>
      </c>
      <c r="D26" s="17" t="inlineStr">
        <is>
          <t>N</t>
        </is>
      </c>
      <c r="E26" s="15" t="inlineStr">
        <is>
          <t>Fr_out = F_couple + (Fz / 2)</t>
        </is>
      </c>
    </row>
    <row r="27">
      <c r="B27" s="12" t="inlineStr">
        <is>
          <t>Peak Inner Radial Force (Fr_in)</t>
        </is>
      </c>
      <c r="C27" s="23">
        <f>ABS(-C25+(C12/2))</f>
        <v/>
      </c>
      <c r="D27" s="17" t="inlineStr">
        <is>
          <t>N</t>
        </is>
      </c>
      <c r="E27" s="15" t="inlineStr">
        <is>
          <t>Fr_in = |-F_couple + (Fz / 2)|</t>
        </is>
      </c>
    </row>
    <row r="28">
      <c r="B28" s="12" t="inlineStr">
        <is>
          <t>Axial Thrust Force (Fa)</t>
        </is>
      </c>
      <c r="C28" s="23">
        <f>C11</f>
        <v/>
      </c>
      <c r="D28" s="17" t="inlineStr">
        <is>
          <t>N</t>
        </is>
      </c>
      <c r="E28" s="15" t="inlineStr">
        <is>
          <t>Fa = Fy (cornering thrust)</t>
        </is>
      </c>
    </row>
    <row r="30" ht="22" customHeight="1">
      <c r="B30" s="10" t="inlineStr">
        <is>
          <t>4. STATIC SAFETY FACTOR (ISO 76) &amp; RATING LIFE (ISO 281)</t>
        </is>
      </c>
      <c r="C30" s="11" t="n"/>
      <c r="D30" s="11" t="n"/>
      <c r="E30" s="11" t="n"/>
      <c r="F30" s="11" t="n"/>
    </row>
    <row r="31" ht="20" customHeight="1">
      <c r="B31" s="2" t="inlineStr">
        <is>
          <t>Life / Safety Parameter</t>
        </is>
      </c>
      <c r="C31" s="2" t="inlineStr">
        <is>
          <t>Outer Bearing</t>
        </is>
      </c>
      <c r="D31" s="2" t="inlineStr">
        <is>
          <t>Inner Bearing</t>
        </is>
      </c>
      <c r="E31" s="2" t="inlineStr">
        <is>
          <t>Unit</t>
        </is>
      </c>
      <c r="F31" s="2" t="inlineStr">
        <is>
          <t>Physical Engineering Formulation</t>
        </is>
      </c>
    </row>
    <row r="32">
      <c r="B32" s="12" t="inlineStr">
        <is>
          <t>Equivalent Static Load (P0)</t>
        </is>
      </c>
      <c r="C32" s="23">
        <f>IF(VLOOKUP(C6, Bearing_Database!A4:S20, 9, FALSE)&gt;0, MAX(C26, 0.5*C26+0.38*C28), MAX(C26, 0.6*C26+0.5*C28))</f>
        <v/>
      </c>
      <c r="D32" s="23">
        <f>IF(VLOOKUP(C7, Bearing_Database!A4:S20, 9, FALSE)&gt;0, MAX(C27, 0.5*C27+0.38*C28), MAX(C27, 0.6*C27+0.5*C28))</f>
        <v/>
      </c>
      <c r="E32" s="17" t="inlineStr">
        <is>
          <t>N</t>
        </is>
      </c>
      <c r="F32" s="15" t="inlineStr">
        <is>
          <t>ISO 76 static equivalent load</t>
        </is>
      </c>
    </row>
    <row r="33">
      <c r="B33" s="12" t="inlineStr">
        <is>
          <t>Static Safety Factor (S0 = C0r / P0)</t>
        </is>
      </c>
      <c r="C33" s="21">
        <f>(VLOOKUP(C6, Bearing_Database!A4:S20, 8, FALSE)*1000)/C32</f>
        <v/>
      </c>
      <c r="D33" s="21">
        <f>(VLOOKUP(C7, Bearing_Database!A4:S20, 8, FALSE)*1000)/D32</f>
        <v/>
      </c>
      <c r="E33" s="17" t="inlineStr">
        <is>
          <t>ratio</t>
        </is>
      </c>
      <c r="F33" s="15" t="inlineStr">
        <is>
          <t>Target S0 &gt;= 1.5 (Green &gt;= 1.5, Yellow 1.0-1.5, Red &lt; 1.0)</t>
        </is>
      </c>
    </row>
    <row r="34">
      <c r="B34" s="14" t="inlineStr">
        <is>
          <t>Wheel Rotational Speed (n_wheel)</t>
        </is>
      </c>
      <c r="C34" s="8">
        <f>((C15*1000/3600)/(2*PI()*C13))*60</f>
        <v/>
      </c>
      <c r="D34" s="8">
        <f>C34</f>
        <v/>
      </c>
      <c r="E34" s="17" t="inlineStr">
        <is>
          <t>rpm</t>
        </is>
      </c>
      <c r="F34" s="15" t="inlineStr">
        <is>
          <t>n = (v / (2 * pi * Reff)) * 60</t>
        </is>
      </c>
    </row>
    <row r="35">
      <c r="B35" s="12" t="inlineStr">
        <is>
          <t>Dynamic Equivalent Spectrum Load (Peq)</t>
        </is>
      </c>
      <c r="C35" s="23">
        <f>(0.60*(1250^3) + 0.30*((0.55*C26)^3) + 0.08*(C26^3) + 0.02*(2600^3))^(1/3)</f>
        <v/>
      </c>
      <c r="D35" s="23">
        <f>(0.60*(1250^3) + 0.30*((0.55*C27)^3) + 0.08*(C27^3) + 0.02*(2600^3))^(1/3)</f>
        <v/>
      </c>
      <c r="E35" s="17" t="inlineStr">
        <is>
          <t>N</t>
        </is>
      </c>
      <c r="F35" s="15" t="inlineStr">
        <is>
          <t>ISO 281 cubic duty spectrum mean load</t>
        </is>
      </c>
    </row>
    <row r="36">
      <c r="B36" s="12" t="inlineStr">
        <is>
          <t>Basic Rating Fatigue Life (L10h)</t>
        </is>
      </c>
      <c r="C36" s="24">
        <f>(10^6/(60*C34)) * ((VLOOKUP(C6, Bearing_Database!A4:S20, 7, FALSE)*1000)/C35)^3</f>
        <v/>
      </c>
      <c r="D36" s="24">
        <f>(10^6/(60*C34)) * ((VLOOKUP(C7, Bearing_Database!A4:S20, 7, FALSE)*1000)/D35)^3</f>
        <v/>
      </c>
      <c r="E36" s="17" t="inlineStr">
        <is>
          <t>Hours</t>
        </is>
      </c>
      <c r="F36" s="15" t="inlineStr">
        <is>
          <t>L10h = (10^6 / (60*n)) * (Cr / Peq)^3</t>
        </is>
      </c>
    </row>
    <row r="37">
      <c r="B37" s="14" t="inlineStr">
        <is>
          <t>Equivalent Distance Life (L10km)</t>
        </is>
      </c>
      <c r="C37" s="25">
        <f>C36*C15</f>
        <v/>
      </c>
      <c r="D37" s="25">
        <f>D36*C15</f>
        <v/>
      </c>
      <c r="E37" s="17" t="inlineStr">
        <is>
          <t>km</t>
        </is>
      </c>
      <c r="F37" s="15" t="inlineStr">
        <is>
          <t>L10km = L10h * v (Full FS season ~ 500 km)</t>
        </is>
      </c>
    </row>
    <row r="39" ht="22" customHeight="1">
      <c r="B39" s="10" t="inlineStr">
        <is>
          <t>5. ELASTOKINEMATIC CAMBER STIFFNESS &amp; ANGULAR COMPLIANCE</t>
        </is>
      </c>
      <c r="C39" s="11" t="n"/>
      <c r="D39" s="11" t="n"/>
      <c r="E39" s="11" t="n"/>
      <c r="F39" s="11" t="n"/>
    </row>
    <row r="40" ht="20" customHeight="1">
      <c r="B40" s="2" t="inlineStr">
        <is>
          <t>Rigidity Parameter</t>
        </is>
      </c>
      <c r="C40" s="2" t="inlineStr">
        <is>
          <t>Value</t>
        </is>
      </c>
      <c r="D40" s="2" t="inlineStr">
        <is>
          <t>Unit</t>
        </is>
      </c>
      <c r="E40" s="2" t="inlineStr">
        <is>
          <t>Physical Engineering Note</t>
        </is>
      </c>
    </row>
    <row r="41">
      <c r="B41" s="12" t="inlineStr">
        <is>
          <t>Angular Camber Stiffness (c_tilt)</t>
        </is>
      </c>
      <c r="C41" s="24">
        <f>0.5 * (VLOOKUP(C6, Bearing_Database!A4:S20, 14, FALSE)*1000000) * ((C24/1000)^2) * (PI()/180)</f>
        <v/>
      </c>
      <c r="D41" s="22" t="inlineStr">
        <is>
          <t>N*m / deg</t>
        </is>
      </c>
      <c r="E41" s="15" t="inlineStr">
        <is>
          <t>c_tilt = 0.5 * Kr * H^2 (N*m/rad converted to N*m/deg)</t>
        </is>
      </c>
    </row>
    <row r="42">
      <c r="B42" s="12" t="inlineStr">
        <is>
          <t>Angular Camber Deflection (gamma)</t>
        </is>
      </c>
      <c r="C42" s="26">
        <f>C21/C41</f>
        <v/>
      </c>
      <c r="D42" s="22" t="inlineStr">
        <is>
          <t>deg</t>
        </is>
      </c>
      <c r="E42" s="15" t="inlineStr">
        <is>
          <t>Elastokinematic hub deflection under peak cornering</t>
        </is>
      </c>
    </row>
    <row r="43">
      <c r="B43" s="14" t="inlineStr">
        <is>
          <t>Tire Top Lateral Deflection</t>
        </is>
      </c>
      <c r="C43" s="6">
        <f>C13*RADIANS(C42)*1000</f>
        <v/>
      </c>
      <c r="D43" s="17" t="inlineStr">
        <is>
          <t>mm</t>
        </is>
      </c>
      <c r="E43" s="15" t="inlineStr">
        <is>
          <t>Reff * radians(gamma) * 1000 lateral displacement</t>
        </is>
      </c>
    </row>
    <row r="44">
      <c r="B44" s="14" t="inlineStr">
        <is>
          <t>Rigidity Ratio vs Physical Span</t>
        </is>
      </c>
      <c r="C44" s="6">
        <f>(C24/C14)^2</f>
        <v/>
      </c>
      <c r="D44" s="17" t="inlineStr">
        <is>
          <t>ratio (x)</t>
        </is>
      </c>
      <c r="E44" s="15" t="inlineStr">
        <is>
          <t>Scaling factor (H / Lb)^2</t>
        </is>
      </c>
    </row>
    <row r="46" ht="22" customHeight="1">
      <c r="B46" s="10" t="inlineStr">
        <is>
          <t>6. PRELOAD MECHANICS &amp; M78x1.5 PRELOAD NUT TORQUE</t>
        </is>
      </c>
      <c r="C46" s="11" t="n"/>
      <c r="D46" s="11" t="n"/>
      <c r="E46" s="11" t="n"/>
      <c r="F46" s="11" t="n"/>
    </row>
    <row r="47" ht="20" customHeight="1">
      <c r="B47" s="2" t="inlineStr">
        <is>
          <t>Fastener / Preload Parameter</t>
        </is>
      </c>
      <c r="C47" s="2" t="inlineStr">
        <is>
          <t>Value</t>
        </is>
      </c>
      <c r="D47" s="2" t="inlineStr">
        <is>
          <t>Unit</t>
        </is>
      </c>
      <c r="E47" s="2" t="inlineStr">
        <is>
          <t>Mathematical Formulation</t>
        </is>
      </c>
    </row>
    <row r="48">
      <c r="B48" s="12" t="inlineStr">
        <is>
          <t>Required Axial Preload (F_preload)</t>
        </is>
      </c>
      <c r="C48" s="23">
        <f>IF(ISNUMBER(SEARCH("-UH", C6)), 712, IF(ISNUMBER(SEARCH("-UM", C6)), 302, IF(VLOOKUP(C6, Bearing_Database!A4:S20, 9, FALSE)&gt;0, 84, (VLOOKUP(C6, Bearing_Database!A4:S20, 15, FALSE)*1000)*0.100)))</f>
        <v/>
      </c>
      <c r="D48" s="17" t="inlineStr">
        <is>
          <t>N</t>
        </is>
      </c>
      <c r="E48" s="15" t="inlineStr">
        <is>
          <t>Catalog class (84N UL, 302N UM, 712N UH, or Ka*0.1mm play)</t>
        </is>
      </c>
    </row>
    <row r="49">
      <c r="B49" s="14" t="inlineStr">
        <is>
          <t>Thread Pitch Diameter (d2)</t>
        </is>
      </c>
      <c r="C49" s="27" t="n">
        <v>77.026</v>
      </c>
      <c r="D49" s="17" t="inlineStr">
        <is>
          <t>mm</t>
        </is>
      </c>
      <c r="E49" s="15" t="inlineStr">
        <is>
          <t>M78x1.5 ISO metric fine thread</t>
        </is>
      </c>
    </row>
    <row r="50">
      <c r="B50" s="14" t="inlineStr">
        <is>
          <t>Thread Lead Angle (psi)</t>
        </is>
      </c>
      <c r="C50" s="27">
        <f>DEGREES(ATAN(C17/(PI()*C49)))</f>
        <v/>
      </c>
      <c r="D50" s="17" t="inlineStr">
        <is>
          <t>deg</t>
        </is>
      </c>
      <c r="E50" s="15" t="inlineStr">
        <is>
          <t>psi = atan(pitch / (pi * d2))</t>
        </is>
      </c>
    </row>
    <row r="51">
      <c r="B51" s="14" t="inlineStr">
        <is>
          <t>Friction Coefficient (mu_thread = mu_collar)</t>
        </is>
      </c>
      <c r="C51" s="27" t="n">
        <v>0.15</v>
      </c>
      <c r="D51" s="17" t="inlineStr">
        <is>
          <t>-</t>
        </is>
      </c>
      <c r="E51" s="15" t="inlineStr">
        <is>
          <t>Lightly lubricated aluminum-to-steel interface</t>
        </is>
      </c>
    </row>
    <row r="52">
      <c r="B52" s="14" t="inlineStr">
        <is>
          <t>Collar Contact Mean Diameter (dc)</t>
        </is>
      </c>
      <c r="C52" s="5" t="n">
        <v>81.5</v>
      </c>
      <c r="D52" s="17" t="inlineStr">
        <is>
          <t>mm</t>
        </is>
      </c>
      <c r="E52" s="15" t="inlineStr">
        <is>
          <t>Nut face contact against inner ring face</t>
        </is>
      </c>
    </row>
    <row r="53">
      <c r="B53" s="12" t="inlineStr">
        <is>
          <t>Preload Nut Tightening Torque (T)</t>
        </is>
      </c>
      <c r="C53" s="21">
        <f>C48 * ( (C49/2000)*((TAN(RADIANS(C50)) + C51/COS(RADIANS(30))) / (1 - C51*TAN(RADIANS(C50))/COS(RADIANS(30)))) + C51*(C52/2000) )</f>
        <v/>
      </c>
      <c r="D53" s="22" t="inlineStr">
        <is>
          <t>N*m</t>
        </is>
      </c>
      <c r="E53" s="15" t="inlineStr">
        <is>
          <t>Motosh tightening torque (FSG cotter pin locked)</t>
        </is>
      </c>
    </row>
    <row r="55" ht="22" customHeight="1">
      <c r="B55" s="10" t="inlineStr">
        <is>
          <t>7. THERMAL FIT EXPANSION &amp; CLEARANCE LOSS (AL 7075 vs 100Cr6)</t>
        </is>
      </c>
      <c r="C55" s="11" t="n"/>
      <c r="D55" s="11" t="n"/>
      <c r="E55" s="11" t="n"/>
      <c r="F55" s="11" t="n"/>
    </row>
    <row r="56" ht="20" customHeight="1">
      <c r="B56" s="2" t="inlineStr">
        <is>
          <t>Thermal Fit Parameter</t>
        </is>
      </c>
      <c r="C56" s="2" t="inlineStr">
        <is>
          <t>Track Operating Temp</t>
        </is>
      </c>
      <c r="D56" s="2" t="inlineStr">
        <is>
          <t>140 deg C (Extreme Brake)</t>
        </is>
      </c>
      <c r="E56" s="2" t="inlineStr">
        <is>
          <t>Unit / Physical Meaning</t>
        </is>
      </c>
    </row>
    <row r="57">
      <c r="B57" s="14" t="inlineStr">
        <is>
          <t>Differential Expansion (Delta_alpha)</t>
        </is>
      </c>
      <c r="C57" s="28" t="n">
        <v>1.19e-05</v>
      </c>
      <c r="D57" s="28" t="n">
        <v>1.19e-05</v>
      </c>
      <c r="E57" s="15" t="inlineStr">
        <is>
          <t>1/K (alpha_Al: 23.4e-6 - alpha_Steel: 11.5e-6)</t>
        </is>
      </c>
    </row>
    <row r="58">
      <c r="B58" s="14" t="inlineStr">
        <is>
          <t>Temperature Delta (Delta_T = T - 20 deg C)</t>
        </is>
      </c>
      <c r="C58" s="5">
        <f>C16-20</f>
        <v/>
      </c>
      <c r="D58" s="5" t="n">
        <v>120</v>
      </c>
      <c r="E58" s="15" t="inlineStr">
        <is>
          <t>K (thermal gradient from ambient 20 deg C)</t>
        </is>
      </c>
    </row>
    <row r="59">
      <c r="B59" s="12" t="inlineStr">
        <is>
          <t>Hub Bore Expansion (Delta_D_hub)</t>
        </is>
      </c>
      <c r="C59" s="29">
        <f>100.0 * C57 * C58</f>
        <v/>
      </c>
      <c r="D59" s="29">
        <f>100.0 * D57 * D58</f>
        <v/>
      </c>
      <c r="E59" s="15" t="inlineStr">
        <is>
          <t>mm (Hub bore grows faster than steel outer ring)</t>
        </is>
      </c>
    </row>
    <row r="60">
      <c r="B60" s="12" t="inlineStr">
        <is>
          <t>Upright Journal Expansion (Delta_d_shaft)</t>
        </is>
      </c>
      <c r="C60" s="29">
        <f>80.0 * C57 * C58</f>
        <v/>
      </c>
      <c r="D60" s="29">
        <f>80.0 * D57 * D58</f>
        <v/>
      </c>
      <c r="E60" s="15" t="inlineStr">
        <is>
          <t>mm (Aluminum shaft expands, locking inner ring)</t>
        </is>
      </c>
    </row>
    <row r="61">
      <c r="B61" s="12" t="inlineStr">
        <is>
          <t>Effective Fit at Hub Bore (P7 = +0.030 mm)</t>
        </is>
      </c>
      <c r="C61" s="30">
        <f>0.030 - C59</f>
        <v/>
      </c>
      <c r="D61" s="30">
        <f>0.030 - D59</f>
        <v/>
      </c>
      <c r="E61" s="15" t="inlineStr">
        <is>
          <t>mm (Negative = Loose clearance, requires axial clamp!)</t>
        </is>
      </c>
    </row>
    <row r="63" ht="22" customHeight="1">
      <c r="B63" s="10" t="inlineStr">
        <is>
          <t>8. BEARING KINEMATICS &amp; BALL DYNAMICS</t>
        </is>
      </c>
      <c r="C63" s="11" t="n"/>
      <c r="D63" s="11" t="n"/>
      <c r="E63" s="11" t="n"/>
      <c r="F63" s="11" t="n"/>
    </row>
    <row r="64" ht="20" customHeight="1">
      <c r="B64" s="2" t="inlineStr">
        <is>
          <t>Kinematic Parameter</t>
        </is>
      </c>
      <c r="C64" s="2" t="inlineStr">
        <is>
          <t>Value</t>
        </is>
      </c>
      <c r="D64" s="2" t="inlineStr">
        <is>
          <t>Unit</t>
        </is>
      </c>
      <c r="E64" s="2" t="inlineStr">
        <is>
          <t>Kinematic Relationship</t>
        </is>
      </c>
    </row>
    <row r="65">
      <c r="B65" s="12" t="inlineStr">
        <is>
          <t>Speed Parameter (n * dm)</t>
        </is>
      </c>
      <c r="C65" s="31">
        <f>C34 * VLOOKUP(C6, Bearing_Database!A4:S20, 6, FALSE)</f>
        <v/>
      </c>
      <c r="D65" s="17" t="inlineStr">
        <is>
          <t>mm*rpm</t>
        </is>
      </c>
      <c r="E65" s="15" t="inlineStr">
        <is>
          <t>n * dm (Catalog limit: 1,000,000)</t>
        </is>
      </c>
    </row>
    <row r="66">
      <c r="B66" s="14" t="inlineStr">
        <is>
          <t>Cage Orbital Speed (nc)</t>
        </is>
      </c>
      <c r="C66" s="8">
        <f>(C34/2) * (1 - (VLOOKUP(C6, Bearing_Database!A4:S20, 10, FALSE)/VLOOKUP(C6, Bearing_Database!A4:S20, 6, FALSE))*COS(RADIANS(VLOOKUP(C6, Bearing_Database!A4:S20, 9, FALSE))))</f>
        <v/>
      </c>
      <c r="D66" s="17" t="inlineStr">
        <is>
          <t>rpm</t>
        </is>
      </c>
      <c r="E66" s="15" t="inlineStr">
        <is>
          <t>nc = (n/2) * (1 - (Dw/dm)*cos(alpha))</t>
        </is>
      </c>
    </row>
    <row r="67">
      <c r="B67" s="14" t="inlineStr">
        <is>
          <t>Ball Spin Speed (nb)</t>
        </is>
      </c>
      <c r="C67" s="8">
        <f>(C34/2) * (VLOOKUP(C6, Bearing_Database!A4:S20, 6, FALSE)/VLOOKUP(C6, Bearing_Database!A4:S20, 10, FALSE)) * (1 - ((VLOOKUP(C6, Bearing_Database!A4:S20, 10, FALSE)/VLOOKUP(C6, Bearing_Database!A4:S20, 6, FALSE))*COS(RADIANS(VLOOKUP(C6, Bearing_Database!A4:S20, 9, FALSE))))^2)</f>
        <v/>
      </c>
      <c r="D67" s="17" t="inlineStr">
        <is>
          <t>rpm</t>
        </is>
      </c>
      <c r="E67" s="15" t="inlineStr">
        <is>
          <t>Ball rotational speed around its own axis</t>
        </is>
      </c>
    </row>
    <row r="68">
      <c r="B68" s="14" t="inlineStr">
        <is>
          <t>Ball Centrifugal Force (Fc)</t>
        </is>
      </c>
      <c r="C68" s="27">
        <f>((4/3)*PI()*((VLOOKUP(C6, Bearing_Database!A4:S20, 10, FALSE)/2000)^3)*7800) * (VLOOKUP(C6, Bearing_Database!A4:S20, 6, FALSE)/2000) * ((2*PI()*C66/60)^2)</f>
        <v/>
      </c>
      <c r="D68" s="17" t="inlineStr">
        <is>
          <t>N</t>
        </is>
      </c>
      <c r="E68" s="15" t="inlineStr">
        <is>
          <t>Centrifugal force per rolling element Fc = m * r * omega^2</t>
        </is>
      </c>
    </row>
    <row r="69">
      <c r="B69" s="14" t="inlineStr">
        <is>
          <t>Ball Gyroscopic Moment (Mg)</t>
        </is>
      </c>
      <c r="C69" s="32">
        <f>(0.1 * ((4/3)*PI()*((VLOOKUP(C6, Bearing_Database!A4:S20, 10, FALSE)/2000)^3)*7800) * ((VLOOKUP(C6, Bearing_Database!A4:S20, 10, FALSE)/1000)^2)) * (2*PI()*C67/60) * (2*PI()*C66/60) * SIN(RADIANS(VLOOKUP(C6, Bearing_Database!A4:S20, 9, FALSE))) * 1000</f>
        <v/>
      </c>
      <c r="D69" s="17" t="inlineStr">
        <is>
          <t>N*mm</t>
        </is>
      </c>
      <c r="E69" s="15" t="inlineStr">
        <is>
          <t>Mg = Jb * omega_b * omega_c * sin(alpha)</t>
        </is>
      </c>
    </row>
    <row r="70">
      <c r="B70" s="12" t="inlineStr">
        <is>
          <t>Anti-Skid Preload Threshold (Fa_skid)</t>
        </is>
      </c>
      <c r="C70" s="23">
        <f>IF(VLOOKUP(C6, Bearing_Database!A4:S20, 9, FALSE)&gt;0, VLOOKUP(C6, Bearing_Database!A4:S20, 11, FALSE) * ((C69/1000) / ((VLOOKUP(C6, Bearing_Database!A4:S20, 10, FALSE)/2000) * 0.06)) * SIN(RADIANS(VLOOKUP(C6, Bearing_Database!A4:S20, 9, FALSE))), 0.01 * (VLOOKUP(C6, Bearing_Database!A4:S20, 8, FALSE)*1000))</f>
        <v/>
      </c>
      <c r="D70" s="17" t="inlineStr">
        <is>
          <t>N</t>
        </is>
      </c>
      <c r="E70" s="15" t="inlineStr">
        <is>
          <t>Minimum axial preload to prevent ball skidding under Mg</t>
        </is>
      </c>
    </row>
    <row r="72" ht="22" customHeight="1">
      <c r="B72" s="10" t="inlineStr">
        <is>
          <t>9. EHL LUBRICATION RATIO (MOTUL GEAR 300 75W90)</t>
        </is>
      </c>
      <c r="C72" s="11" t="n"/>
      <c r="D72" s="11" t="n"/>
      <c r="E72" s="11" t="n"/>
      <c r="F72" s="11" t="n"/>
    </row>
    <row r="73" ht="20" customHeight="1">
      <c r="B73" s="2" t="inlineStr">
        <is>
          <t>Lubrication Parameter</t>
        </is>
      </c>
      <c r="C73" s="2" t="inlineStr">
        <is>
          <t>Value</t>
        </is>
      </c>
      <c r="D73" s="2" t="inlineStr">
        <is>
          <t>Unit</t>
        </is>
      </c>
      <c r="E73" s="2" t="inlineStr">
        <is>
          <t>Physical Meaning &amp; Threshold</t>
        </is>
      </c>
    </row>
    <row r="74">
      <c r="B74" s="12" t="inlineStr">
        <is>
          <t>Kinematic Viscosity at Operating Temp (nu)</t>
        </is>
      </c>
      <c r="C74" s="33">
        <f>MAX(10.0, 152.0 * EXP(-0.038 * (C16 - 40)))</f>
        <v/>
      </c>
      <c r="D74" s="17" t="inlineStr">
        <is>
          <t>mm^2/s</t>
        </is>
      </c>
      <c r="E74" s="15" t="inlineStr">
        <is>
          <t>Motul Gear 300 75W90 ester synthetic at track temp</t>
        </is>
      </c>
    </row>
    <row r="75">
      <c r="B75" s="14" t="inlineStr">
        <is>
          <t>Reference Viscosity for Full Film (nu1)</t>
        </is>
      </c>
      <c r="C75" s="5">
        <f>45000 * (C34^(-0.83)) * ((VLOOKUP(C6, Bearing_Database!A4:S20, 6, FALSE))^(-0.5))</f>
        <v/>
      </c>
      <c r="D75" s="17" t="inlineStr">
        <is>
          <t>mm^2/s</t>
        </is>
      </c>
      <c r="E75" s="15" t="inlineStr">
        <is>
          <t>nu1 = 45000 * n^(-0.83) * dm^(-0.5) (ISO 281)</t>
        </is>
      </c>
    </row>
    <row r="76">
      <c r="B76" s="12" t="inlineStr">
        <is>
          <t>Viscosity Ratio (kappa = nu / nu1)</t>
        </is>
      </c>
      <c r="C76" s="21">
        <f>C74/C75</f>
        <v/>
      </c>
      <c r="D76" s="22" t="inlineStr">
        <is>
          <t>ratio</t>
        </is>
      </c>
      <c r="E76" s="15" t="inlineStr">
        <is>
          <t>kappa &gt;= 2.0: Full elastohydrodynamic separation</t>
        </is>
      </c>
    </row>
    <row r="78" ht="22" customHeight="1">
      <c r="B78" s="10" t="inlineStr">
        <is>
          <t>10. MULTI-LOAD CASE SAFETY FACTOR SUMMARY (ALL 8 FS CASES)</t>
        </is>
      </c>
      <c r="C78" s="11" t="n"/>
      <c r="D78" s="11" t="n"/>
      <c r="E78" s="11" t="n"/>
      <c r="F78" s="11" t="n"/>
    </row>
    <row r="79" ht="20" customHeight="1">
      <c r="B79" s="2" t="inlineStr">
        <is>
          <t>Load Case</t>
        </is>
      </c>
      <c r="C79" s="2" t="inlineStr">
        <is>
          <t>Fy (N)</t>
        </is>
      </c>
      <c r="D79" s="2" t="inlineStr">
        <is>
          <t>Mx (N*m)</t>
        </is>
      </c>
      <c r="E79" s="2" t="inlineStr">
        <is>
          <t>Fr_outer (N)</t>
        </is>
      </c>
      <c r="F79" s="2" t="inlineStr">
        <is>
          <t>P0_outer (N)</t>
        </is>
      </c>
      <c r="G79" s="2" t="inlineStr">
        <is>
          <t>Compliance</t>
        </is>
      </c>
      <c r="H79" s="2" t="inlineStr">
        <is>
          <t>Evaluation</t>
        </is>
      </c>
    </row>
    <row r="80" ht="20" customHeight="1">
      <c r="B80" s="12" t="inlineStr">
        <is>
          <t>LC1 - Pure Braking</t>
        </is>
      </c>
      <c r="C80" s="8" t="n">
        <v>0</v>
      </c>
      <c r="D80" s="8">
        <f>ABS(C80)*C13</f>
        <v/>
      </c>
      <c r="E80" s="8">
        <f>(D80/(C24/1000)) + (3207.37/2)</f>
        <v/>
      </c>
      <c r="F80" s="20">
        <f>(VLOOKUP(C6, Bearing_Database!A4:S20, 8, FALSE)*1000)/(IF(VLOOKUP(C6, Bearing_Database!A4:S20, 9, FALSE)&gt;0, MAX(E80, 0.5*E80+0.38*ABS(C80)), MAX(E80, 0.6*E80+0.5*ABS(C80))))</f>
        <v/>
      </c>
      <c r="G80" s="22">
        <f>IF(F80&gt;=1.5, "Safe", IF(F80&gt;=1.0, "Marginal", "Exceeded"))</f>
        <v/>
      </c>
    </row>
    <row r="81" ht="20" customHeight="1">
      <c r="B81" s="12" t="inlineStr">
        <is>
          <t>LC2 - Pure Acceleration</t>
        </is>
      </c>
      <c r="C81" s="8" t="n">
        <v>0</v>
      </c>
      <c r="D81" s="8">
        <f>ABS(C81)*C13</f>
        <v/>
      </c>
      <c r="E81" s="8">
        <f>(D81/(C24/1000)) + (2409.45/2)</f>
        <v/>
      </c>
      <c r="F81" s="20">
        <f>(VLOOKUP(C6, Bearing_Database!A4:S20, 8, FALSE)*1000)/(IF(VLOOKUP(C6, Bearing_Database!A4:S20, 9, FALSE)&gt;0, MAX(E81, 0.5*E81+0.38*ABS(C81)), MAX(E81, 0.6*E81+0.5*ABS(C81))))</f>
        <v/>
      </c>
      <c r="G81" s="22">
        <f>IF(F81&gt;=1.5, "Safe", IF(F81&gt;=1.0, "Marginal", "Exceeded"))</f>
        <v/>
      </c>
    </row>
    <row r="82" ht="20" customHeight="1">
      <c r="B82" s="12" t="inlineStr">
        <is>
          <t>LC3 - Pure Cornering (1.8g)</t>
        </is>
      </c>
      <c r="C82" s="8" t="n">
        <v>-4436.26</v>
      </c>
      <c r="D82" s="8">
        <f>ABS(C82)*C13</f>
        <v/>
      </c>
      <c r="E82" s="8">
        <f>(D82/(C24/1000)) + (3574.61/2)</f>
        <v/>
      </c>
      <c r="F82" s="20">
        <f>(VLOOKUP(C6, Bearing_Database!A4:S20, 8, FALSE)*1000)/(IF(VLOOKUP(C6, Bearing_Database!A4:S20, 9, FALSE)&gt;0, MAX(E82, 0.5*E82+0.38*ABS(C82)), MAX(E82, 0.6*E82+0.5*ABS(C82))))</f>
        <v/>
      </c>
      <c r="G82" s="22">
        <f>IF(F82&gt;=1.5, "Safe", IF(F82&gt;=1.0, "Marginal", "Exceeded"))</f>
        <v/>
      </c>
    </row>
    <row r="83" ht="20" customHeight="1">
      <c r="B83" s="12" t="inlineStr">
        <is>
          <t>LC4 - Combined Braking + Cornering 1</t>
        </is>
      </c>
      <c r="C83" s="8" t="n">
        <v>-3089.33</v>
      </c>
      <c r="D83" s="8">
        <f>ABS(C83)*C13</f>
        <v/>
      </c>
      <c r="E83" s="8">
        <f>(D83/(C24/1000)) + (3125.0/2)</f>
        <v/>
      </c>
      <c r="F83" s="20">
        <f>(VLOOKUP(C6, Bearing_Database!A4:S20, 8, FALSE)*1000)/(IF(VLOOKUP(C6, Bearing_Database!A4:S20, 9, FALSE)&gt;0, MAX(E83, 0.5*E83+0.38*ABS(C83)), MAX(E83, 0.6*E83+0.5*ABS(C83))))</f>
        <v/>
      </c>
      <c r="G83" s="22">
        <f>IF(F83&gt;=1.5, "Safe", IF(F83&gt;=1.0, "Marginal", "Exceeded"))</f>
        <v/>
      </c>
    </row>
    <row r="84" ht="20" customHeight="1">
      <c r="B84" s="12" t="inlineStr">
        <is>
          <t>LC5 - Combined Braking + Cornering 2</t>
        </is>
      </c>
      <c r="C84" s="8" t="n">
        <v>-2468.43</v>
      </c>
      <c r="D84" s="8">
        <f>ABS(C84)*C13</f>
        <v/>
      </c>
      <c r="E84" s="8">
        <f>(D84/(C24/1000)) + (2823.56/2)</f>
        <v/>
      </c>
      <c r="F84" s="20">
        <f>(VLOOKUP(C6, Bearing_Database!A4:S20, 8, FALSE)*1000)/(IF(VLOOKUP(C6, Bearing_Database!A4:S20, 9, FALSE)&gt;0, MAX(E84, 0.5*E84+0.38*ABS(C84)), MAX(E84, 0.6*E84+0.5*ABS(C84))))</f>
        <v/>
      </c>
      <c r="G84" s="22">
        <f>IF(F84&gt;=1.5, "Safe", IF(F84&gt;=1.0, "Marginal", "Exceeded"))</f>
        <v/>
      </c>
    </row>
    <row r="85" ht="20" customHeight="1">
      <c r="B85" s="12" t="inlineStr">
        <is>
          <t>LC6 - Combined Accel + Cornering 1</t>
        </is>
      </c>
      <c r="C85" s="8" t="n">
        <v>-2228.85</v>
      </c>
      <c r="D85" s="8">
        <f>ABS(C85)*C13</f>
        <v/>
      </c>
      <c r="E85" s="8">
        <f>(D85/(C24/1000)) + (2130.33/2)</f>
        <v/>
      </c>
      <c r="F85" s="20">
        <f>(VLOOKUP(C6, Bearing_Database!A4:S20, 8, FALSE)*1000)/(IF(VLOOKUP(C6, Bearing_Database!A4:S20, 9, FALSE)&gt;0, MAX(E85, 0.5*E85+0.38*ABS(C85)), MAX(E85, 0.6*E85+0.5*ABS(C85))))</f>
        <v/>
      </c>
      <c r="G85" s="22">
        <f>IF(F85&gt;=1.5, "Safe", IF(F85&gt;=1.0, "Marginal", "Exceeded"))</f>
        <v/>
      </c>
    </row>
    <row r="86" ht="20" customHeight="1">
      <c r="B86" s="12" t="inlineStr">
        <is>
          <t>LC7 - Combined Accel + Cornering 2</t>
        </is>
      </c>
      <c r="C86" s="8" t="n">
        <v>-2898.75</v>
      </c>
      <c r="D86" s="8">
        <f>ABS(C86)*C13</f>
        <v/>
      </c>
      <c r="E86" s="8">
        <f>(D86/(C24/1000)) + (2879.34/2)</f>
        <v/>
      </c>
      <c r="F86" s="20">
        <f>(VLOOKUP(C6, Bearing_Database!A4:S20, 8, FALSE)*1000)/(IF(VLOOKUP(C6, Bearing_Database!A4:S20, 9, FALSE)&gt;0, MAX(E86, 0.5*E86+0.38*ABS(C86)), MAX(E86, 0.6*E86+0.5*ABS(C86))))</f>
        <v/>
      </c>
      <c r="G86" s="22">
        <f>IF(F86&gt;=1.5, "Safe", IF(F86&gt;=1.0, "Marginal", "Exceeded"))</f>
        <v/>
      </c>
    </row>
    <row r="87" ht="20" customHeight="1">
      <c r="B87" s="12" t="inlineStr">
        <is>
          <t>LC Bump - Dynamic Curb Strike (3.5g)</t>
        </is>
      </c>
      <c r="C87" s="8" t="n">
        <v>0</v>
      </c>
      <c r="D87" s="8">
        <f>ABS(C87)*C13</f>
        <v/>
      </c>
      <c r="E87" s="8">
        <f>(D87/(C24/1000)) + (5200.0/2)</f>
        <v/>
      </c>
      <c r="F87" s="20">
        <f>(VLOOKUP(C6, Bearing_Database!A4:S20, 8, FALSE)*1000)/(IF(VLOOKUP(C6, Bearing_Database!A4:S20, 9, FALSE)&gt;0, MAX(E87, 0.5*E87+0.38*ABS(C87)), MAX(E87, 0.6*E87+0.5*ABS(C87))))</f>
        <v/>
      </c>
      <c r="G87" s="22">
        <f>IF(F87&gt;=1.5, "Safe", IF(F87&gt;=1.0, "Marginal", "Exceeded"))</f>
        <v/>
      </c>
    </row>
  </sheetData>
  <conditionalFormatting sqref="C33:D33">
    <cfRule type="cellIs" priority="1" operator="greaterThanOrEqual" dxfId="0" stopIfTrue="1">
      <formula>1.5</formula>
    </cfRule>
    <cfRule type="cellIs" priority="2" operator="between" dxfId="1" stopIfTrue="1">
      <formula>1.0</formula>
      <formula>1.4999</formula>
    </cfRule>
    <cfRule type="cellIs" priority="3" operator="lessThan" dxfId="2" stopIfTrue="1">
      <formula>1.0</formula>
    </cfRule>
  </conditionalFormatting>
  <conditionalFormatting sqref="F80:F87">
    <cfRule type="cellIs" priority="1" operator="greaterThanOrEqual" dxfId="0" stopIfTrue="1">
      <formula>1.5</formula>
    </cfRule>
    <cfRule type="cellIs" priority="2" operator="between" dxfId="1" stopIfTrue="1">
      <formula>1.0</formula>
      <formula>1.4999</formula>
    </cfRule>
    <cfRule type="cellIs" priority="3" operator="lessThan" dxfId="2" stopIfTrue="1">
      <formula>1.0</formula>
    </cfRule>
  </conditionalFormatting>
  <dataValidations count="1">
    <dataValidation sqref="C6 C7" showDropDown="0" showInputMessage="0" showErrorMessage="0" allowBlank="1" errorTitle="Invalid Bearing" error="Select a bearing from candidate catalog" promptTitle="Bearing Catalog" prompt="Choose candidate bearing from catalog" type="list">
      <formula1>Bearing_Database!$A$4:$A$20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2026-10-17T22:45:16Z</dcterms:created>
  <dcterms:modified xsi:type="dcterms:W3CDTF">2026-10-17T22:45:16Z</dcterms:modified>
</cp:coreProperties>
</file>